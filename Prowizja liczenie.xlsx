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dczarujlowcode.sharepoint.com/sites/ProjektyRaportowania/Shared Documents/LDIT - PROJEKTY/System dla instytucji szkoleniowych/"/>
    </mc:Choice>
  </mc:AlternateContent>
  <xr:revisionPtr revIDLastSave="148" documentId="8_{48CC61ED-0273-4E0F-895F-1D2090BAE326}" xr6:coauthVersionLast="47" xr6:coauthVersionMax="47" xr10:uidLastSave="{1208F7D0-1C5E-4E58-BF74-1BD4B94CD11F}"/>
  <bookViews>
    <workbookView xWindow="-28920" yWindow="-120" windowWidth="29040" windowHeight="15720" activeTab="3" xr2:uid="{6870F1D1-A10A-4456-AA32-C6498B1D4F8B}"/>
  </bookViews>
  <sheets>
    <sheet name="Liczenie prowizji" sheetId="1" r:id="rId1"/>
    <sheet name="Wsad" sheetId="2" r:id="rId2"/>
    <sheet name="Kwoty dofinansowania" sheetId="3" r:id="rId3"/>
    <sheet name="Firmy - uczestni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4" l="1"/>
  <c r="H16" i="4" s="1"/>
  <c r="H15" i="4"/>
  <c r="K17" i="4"/>
  <c r="G17" i="4"/>
  <c r="K15" i="4"/>
  <c r="G15" i="4"/>
  <c r="I38" i="1"/>
  <c r="H38" i="1" s="1"/>
  <c r="I25" i="1"/>
  <c r="H25" i="1" s="1"/>
  <c r="I10" i="1"/>
  <c r="I11" i="1"/>
  <c r="I12" i="1"/>
  <c r="I9" i="1"/>
  <c r="K16" i="4"/>
  <c r="G16" i="4"/>
</calcChain>
</file>

<file path=xl/sharedStrings.xml><?xml version="1.0" encoding="utf-8"?>
<sst xmlns="http://schemas.openxmlformats.org/spreadsheetml/2006/main" count="94" uniqueCount="56">
  <si>
    <t>War. Szkolenia</t>
  </si>
  <si>
    <t>Faktura instytucji szkoleniowej</t>
  </si>
  <si>
    <t>Faktura Bartka</t>
  </si>
  <si>
    <t>&gt;50 000</t>
  </si>
  <si>
    <t>&lt;50 000</t>
  </si>
  <si>
    <t>Rozliczanie miesięczne</t>
  </si>
  <si>
    <t>Rozliczanie roczne YTD</t>
  </si>
  <si>
    <t>&lt;500 000</t>
  </si>
  <si>
    <t>&lt;1 000 000</t>
  </si>
  <si>
    <t>&gt;1 000 000</t>
  </si>
  <si>
    <t>Miesiąc (data faktury LDIT)</t>
  </si>
  <si>
    <t>% PROWIZJI</t>
  </si>
  <si>
    <t>Koszt całkowity szkolenia</t>
  </si>
  <si>
    <t>miesięczny</t>
  </si>
  <si>
    <t>roczny</t>
  </si>
  <si>
    <t>Progi przychodu</t>
  </si>
  <si>
    <t>stała prowizja</t>
  </si>
  <si>
    <t>Sposób liczenia</t>
  </si>
  <si>
    <t>nadwyżka</t>
  </si>
  <si>
    <t>całość</t>
  </si>
  <si>
    <t>Status per wniosek</t>
  </si>
  <si>
    <t>Zgodnie z zasadami</t>
  </si>
  <si>
    <t>&gt;120000</t>
  </si>
  <si>
    <t>Indywidualna stawka</t>
  </si>
  <si>
    <t>&lt;60 000</t>
  </si>
  <si>
    <t>&gt;60 000</t>
  </si>
  <si>
    <t>Wartość  - kwota wnioskowana</t>
  </si>
  <si>
    <t>Przyznano - ile dostał</t>
  </si>
  <si>
    <t xml:space="preserve">Koszt całowity - </t>
  </si>
  <si>
    <t>Biedronka</t>
  </si>
  <si>
    <t>osoba 1</t>
  </si>
  <si>
    <t>osoba 2</t>
  </si>
  <si>
    <t>osoba 3</t>
  </si>
  <si>
    <t>osoba 4</t>
  </si>
  <si>
    <t>osoba 5</t>
  </si>
  <si>
    <t>osoba 6</t>
  </si>
  <si>
    <t>osoba 7</t>
  </si>
  <si>
    <t>osoba 8</t>
  </si>
  <si>
    <t>osoba 9</t>
  </si>
  <si>
    <t>osoba 10</t>
  </si>
  <si>
    <t>Firmy</t>
  </si>
  <si>
    <t>Uczestnicy</t>
  </si>
  <si>
    <t>Rodzaj</t>
  </si>
  <si>
    <t>Średnia firma</t>
  </si>
  <si>
    <t>Wkład własny</t>
  </si>
  <si>
    <t>Wniosek</t>
  </si>
  <si>
    <t>Dane kontaktowe</t>
  </si>
  <si>
    <t>Kwota dopłaty dodatkowej</t>
  </si>
  <si>
    <t xml:space="preserve">Koszt całowity z dopłatą </t>
  </si>
  <si>
    <t>Lidl</t>
  </si>
  <si>
    <t>Całkowita wartość szkolenia</t>
  </si>
  <si>
    <t>Dopłata standard</t>
  </si>
  <si>
    <t>Dofinansowanie + wkład własny</t>
  </si>
  <si>
    <t>x</t>
  </si>
  <si>
    <t>Kwota</t>
  </si>
  <si>
    <t>czy zakwalifikowany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</si>
</sst>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9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9" fontId="0" fillId="0" borderId="0" xfId="2" applyFont="1"/>
    <xf numFmtId="0" fontId="0" fillId="2" borderId="1" xfId="0" applyFont="1" applyFill="1" applyBorder="1"/>
    <xf numFmtId="0" fontId="2" fillId="3" borderId="1" xfId="0" applyFont="1" applyFill="1" applyBorder="1"/>
    <xf numFmtId="0" fontId="0" fillId="2" borderId="2" xfId="0" applyFont="1" applyFill="1" applyBorder="1"/>
    <xf numFmtId="0" fontId="0" fillId="4" borderId="0" xfId="0" applyFill="1"/>
    <xf numFmtId="165" fontId="0" fillId="4" borderId="0" xfId="0" applyNumberFormat="1" applyFill="1"/>
    <xf numFmtId="165" fontId="0" fillId="5" borderId="0" xfId="1" applyNumberFormat="1" applyFont="1" applyFill="1"/>
    <xf numFmtId="9" fontId="0" fillId="5" borderId="0" xfId="0" applyNumberFormat="1" applyFill="1"/>
    <xf numFmtId="0" fontId="0" fillId="6" borderId="0" xfId="0" applyFill="1"/>
    <xf numFmtId="165" fontId="0" fillId="6" borderId="0" xfId="0" applyNumberFormat="1" applyFill="1"/>
    <xf numFmtId="0" fontId="0" fillId="5" borderId="0" xfId="0" applyFill="1"/>
    <xf numFmtId="165" fontId="0" fillId="5" borderId="0" xfId="0" applyNumberFormat="1" applyFill="1"/>
  </cellXfs>
  <cellStyles count="3">
    <cellStyle name="Dziesiętny" xfId="1" builtinId="3"/>
    <cellStyle name="Normalny" xfId="0" builtinId="0"/>
    <cellStyle name="Procentowy" xfId="2" builtinId="5"/>
  </cellStyles>
  <dxfs count="1"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781706</xdr:colOff>
      <xdr:row>42</xdr:row>
      <xdr:rowOff>0</xdr:rowOff>
    </xdr:from>
    <xdr:to>
      <xdr:col>4</xdr:col>
      <xdr:colOff>798983</xdr:colOff>
      <xdr:row>54</xdr:row>
      <xdr:rowOff>57477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EDB94D9-504C-1F0A-B458-C60888881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5034" y="8001000"/>
          <a:ext cx="1409897" cy="234347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48E478-24D8-49F0-8F50-67AC66ED6ED0}" name="Tabela1" displayName="Tabela1" ref="C3:C6" totalsRowShown="0">
  <autoFilter ref="C3:C6" xr:uid="{C648E478-24D8-49F0-8F50-67AC66ED6ED0}"/>
  <tableColumns count="1">
    <tableColumn id="1" xr3:uid="{96617EDC-154D-4D1B-AC9B-50F55CB5F92F}" name="Progi przychod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EAB2BF-3CA9-408B-B617-D230CC89228A}" name="Tabela2" displayName="Tabela2" ref="E3:E6" totalsRowShown="0" tableBorderDxfId="0">
  <autoFilter ref="E3:E6" xr:uid="{2FEAB2BF-3CA9-408B-B617-D230CC89228A}"/>
  <tableColumns count="1">
    <tableColumn id="1" xr3:uid="{9203CE23-3F0F-41F1-B3D2-F90B05814E42}" name="Sposób liczeni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34033E-5CDA-4631-A2C6-484B2DD9A1AA}" name="Tabela3" displayName="Tabela3" ref="G3:G5" totalsRowShown="0">
  <autoFilter ref="G3:G5" xr:uid="{2D34033E-5CDA-4631-A2C6-484B2DD9A1AA}"/>
  <tableColumns count="1">
    <tableColumn id="1" xr3:uid="{93BFAADE-F294-4372-ACF7-6EDCD27D5C39}" name="Status per wniose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647C-1455-4B2E-9910-F4E34FC9E0AC}">
  <dimension ref="B1:I40"/>
  <sheetViews>
    <sheetView topLeftCell="A20" zoomScaleNormal="100" workbookViewId="0">
      <selection activeCell="G28" sqref="G28"/>
    </sheetView>
  </sheetViews>
  <sheetFormatPr defaultRowHeight="15" x14ac:dyDescent="0.25"/>
  <cols>
    <col min="2" max="2" width="17.7109375" customWidth="1"/>
    <col min="3" max="3" width="11.7109375" customWidth="1"/>
    <col min="5" max="5" width="24.7109375" customWidth="1"/>
    <col min="6" max="6" width="22.42578125" customWidth="1"/>
    <col min="7" max="7" width="34.85546875" customWidth="1"/>
    <col min="8" max="8" width="18.5703125" customWidth="1"/>
    <col min="9" max="9" width="16.140625" customWidth="1"/>
  </cols>
  <sheetData>
    <row r="1" spans="2:9" x14ac:dyDescent="0.25">
      <c r="E1" t="s">
        <v>5</v>
      </c>
    </row>
    <row r="2" spans="2:9" x14ac:dyDescent="0.25">
      <c r="B2" t="s">
        <v>15</v>
      </c>
      <c r="F2" t="s">
        <v>4</v>
      </c>
      <c r="G2" s="2">
        <v>0.1</v>
      </c>
      <c r="H2" s="2"/>
    </row>
    <row r="3" spans="2:9" x14ac:dyDescent="0.25">
      <c r="B3" t="s">
        <v>13</v>
      </c>
      <c r="F3" t="s">
        <v>3</v>
      </c>
      <c r="G3" s="2">
        <v>0.12</v>
      </c>
      <c r="H3" s="2"/>
    </row>
    <row r="4" spans="2:9" x14ac:dyDescent="0.25">
      <c r="G4" s="2"/>
      <c r="H4" s="2"/>
    </row>
    <row r="5" spans="2:9" x14ac:dyDescent="0.25">
      <c r="F5" t="s">
        <v>24</v>
      </c>
      <c r="G5" s="2">
        <v>0.12</v>
      </c>
      <c r="H5" s="2"/>
    </row>
    <row r="6" spans="2:9" x14ac:dyDescent="0.25">
      <c r="F6" t="s">
        <v>25</v>
      </c>
      <c r="G6" s="2">
        <v>0.1</v>
      </c>
      <c r="H6" s="2"/>
    </row>
    <row r="8" spans="2:9" x14ac:dyDescent="0.25">
      <c r="E8" t="s">
        <v>10</v>
      </c>
      <c r="F8" t="s">
        <v>12</v>
      </c>
      <c r="G8" t="s">
        <v>1</v>
      </c>
      <c r="H8" t="s">
        <v>11</v>
      </c>
      <c r="I8" t="s">
        <v>2</v>
      </c>
    </row>
    <row r="9" spans="2:9" x14ac:dyDescent="0.25">
      <c r="E9" s="1">
        <v>46023</v>
      </c>
      <c r="F9">
        <v>26000</v>
      </c>
      <c r="H9" s="2">
        <v>0.12</v>
      </c>
      <c r="I9" s="4">
        <f>H9*F9</f>
        <v>3120</v>
      </c>
    </row>
    <row r="10" spans="2:9" x14ac:dyDescent="0.25">
      <c r="E10" s="1">
        <v>46023</v>
      </c>
      <c r="F10">
        <v>25000</v>
      </c>
      <c r="H10" s="2">
        <v>0.12</v>
      </c>
      <c r="I10" s="4">
        <f t="shared" ref="I10:I12" si="0">H10*F10</f>
        <v>3000</v>
      </c>
    </row>
    <row r="11" spans="2:9" x14ac:dyDescent="0.25">
      <c r="E11" s="1">
        <v>46054</v>
      </c>
      <c r="F11">
        <v>25000</v>
      </c>
      <c r="H11" s="2">
        <v>0.1</v>
      </c>
      <c r="I11" s="4">
        <f t="shared" si="0"/>
        <v>2500</v>
      </c>
    </row>
    <row r="12" spans="2:9" x14ac:dyDescent="0.25">
      <c r="E12" s="1">
        <v>46054</v>
      </c>
      <c r="F12">
        <v>24000</v>
      </c>
      <c r="H12" s="2">
        <v>0.1</v>
      </c>
      <c r="I12" s="4">
        <f t="shared" si="0"/>
        <v>2400</v>
      </c>
    </row>
    <row r="13" spans="2:9" x14ac:dyDescent="0.25">
      <c r="E13" s="1"/>
    </row>
    <row r="17" spans="2:9" x14ac:dyDescent="0.25">
      <c r="B17" t="s">
        <v>15</v>
      </c>
      <c r="E17" t="s">
        <v>6</v>
      </c>
    </row>
    <row r="18" spans="2:9" x14ac:dyDescent="0.25">
      <c r="B18" t="s">
        <v>14</v>
      </c>
      <c r="F18" t="s">
        <v>7</v>
      </c>
      <c r="G18" s="2">
        <v>0.2</v>
      </c>
      <c r="H18" s="2"/>
    </row>
    <row r="19" spans="2:9" x14ac:dyDescent="0.25">
      <c r="F19" t="s">
        <v>8</v>
      </c>
      <c r="G19" s="2">
        <v>0.1</v>
      </c>
      <c r="H19" s="2"/>
    </row>
    <row r="20" spans="2:9" x14ac:dyDescent="0.25">
      <c r="F20" s="3" t="s">
        <v>9</v>
      </c>
      <c r="G20" s="2">
        <v>0.05</v>
      </c>
      <c r="H20" s="2"/>
    </row>
    <row r="22" spans="2:9" x14ac:dyDescent="0.25">
      <c r="E22" t="s">
        <v>10</v>
      </c>
      <c r="F22" t="s">
        <v>0</v>
      </c>
      <c r="G22" t="s">
        <v>1</v>
      </c>
      <c r="H22" t="s">
        <v>11</v>
      </c>
      <c r="I22" t="s">
        <v>2</v>
      </c>
    </row>
    <row r="23" spans="2:9" x14ac:dyDescent="0.25">
      <c r="E23" s="1">
        <v>46023</v>
      </c>
      <c r="F23" s="4">
        <v>240000</v>
      </c>
      <c r="H23" s="2">
        <v>0.2</v>
      </c>
    </row>
    <row r="24" spans="2:9" x14ac:dyDescent="0.25">
      <c r="E24" s="1">
        <v>46023</v>
      </c>
      <c r="F24" s="4">
        <v>250000</v>
      </c>
      <c r="H24" s="2">
        <v>0.2</v>
      </c>
    </row>
    <row r="25" spans="2:9" x14ac:dyDescent="0.25">
      <c r="E25" s="1">
        <v>46023</v>
      </c>
      <c r="F25" s="4">
        <v>15000</v>
      </c>
      <c r="H25" s="5">
        <f>I25/F25</f>
        <v>0.16666666666666666</v>
      </c>
      <c r="I25">
        <f>10000*0.2 +5000*0.1</f>
        <v>2500</v>
      </c>
    </row>
    <row r="26" spans="2:9" x14ac:dyDescent="0.25">
      <c r="E26" s="1">
        <v>46054</v>
      </c>
      <c r="F26" s="4">
        <v>250000</v>
      </c>
    </row>
    <row r="27" spans="2:9" x14ac:dyDescent="0.25">
      <c r="E27" s="1">
        <v>46054</v>
      </c>
      <c r="F27" s="4">
        <v>240000</v>
      </c>
    </row>
    <row r="30" spans="2:9" x14ac:dyDescent="0.25">
      <c r="B30" t="s">
        <v>15</v>
      </c>
      <c r="E30" t="s">
        <v>6</v>
      </c>
    </row>
    <row r="31" spans="2:9" x14ac:dyDescent="0.25">
      <c r="B31" t="s">
        <v>14</v>
      </c>
      <c r="F31" t="s">
        <v>7</v>
      </c>
      <c r="G31" s="2">
        <v>0.18</v>
      </c>
      <c r="H31" s="2"/>
    </row>
    <row r="32" spans="2:9" x14ac:dyDescent="0.25">
      <c r="F32" t="s">
        <v>8</v>
      </c>
      <c r="G32" s="2">
        <v>0.14000000000000001</v>
      </c>
      <c r="H32" s="2"/>
    </row>
    <row r="33" spans="5:9" x14ac:dyDescent="0.25">
      <c r="F33" s="3" t="s">
        <v>9</v>
      </c>
      <c r="G33" s="2">
        <v>0.1</v>
      </c>
      <c r="H33" s="2"/>
    </row>
    <row r="35" spans="5:9" x14ac:dyDescent="0.25">
      <c r="E35" t="s">
        <v>10</v>
      </c>
      <c r="F35" t="s">
        <v>0</v>
      </c>
      <c r="G35" t="s">
        <v>1</v>
      </c>
      <c r="H35" t="s">
        <v>11</v>
      </c>
      <c r="I35" t="s">
        <v>2</v>
      </c>
    </row>
    <row r="36" spans="5:9" x14ac:dyDescent="0.25">
      <c r="E36" s="1">
        <v>46023</v>
      </c>
      <c r="F36" s="4">
        <v>240000</v>
      </c>
      <c r="H36" s="2">
        <v>0.2</v>
      </c>
    </row>
    <row r="37" spans="5:9" x14ac:dyDescent="0.25">
      <c r="E37" s="1">
        <v>46023</v>
      </c>
      <c r="F37" s="4">
        <v>250000</v>
      </c>
      <c r="H37" s="2">
        <v>0.2</v>
      </c>
    </row>
    <row r="38" spans="5:9" x14ac:dyDescent="0.25">
      <c r="E38" s="1">
        <v>46023</v>
      </c>
      <c r="F38" s="4">
        <v>15000</v>
      </c>
      <c r="H38" s="5">
        <f>I38/F38</f>
        <v>0.16666666666666666</v>
      </c>
      <c r="I38">
        <f>10000*0.2 +5000*0.1</f>
        <v>2500</v>
      </c>
    </row>
    <row r="39" spans="5:9" x14ac:dyDescent="0.25">
      <c r="E39" s="1">
        <v>46054</v>
      </c>
      <c r="F39" s="4">
        <v>250000</v>
      </c>
    </row>
    <row r="40" spans="5:9" x14ac:dyDescent="0.25">
      <c r="E40" s="1">
        <v>46054</v>
      </c>
      <c r="F40" s="4">
        <v>240000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C4A9-1917-402E-829D-E7A01F9A7422}">
  <dimension ref="C3:G12"/>
  <sheetViews>
    <sheetView workbookViewId="0">
      <selection activeCell="H5" sqref="H5"/>
    </sheetView>
  </sheetViews>
  <sheetFormatPr defaultRowHeight="15" x14ac:dyDescent="0.25"/>
  <cols>
    <col min="3" max="3" width="25.28515625" customWidth="1"/>
    <col min="4" max="4" width="7.85546875" customWidth="1"/>
    <col min="5" max="5" width="25.5703125" customWidth="1"/>
    <col min="6" max="6" width="15.5703125" customWidth="1"/>
    <col min="7" max="7" width="24.42578125" customWidth="1"/>
    <col min="8" max="8" width="16" customWidth="1"/>
  </cols>
  <sheetData>
    <row r="3" spans="3:7" x14ac:dyDescent="0.25">
      <c r="C3" t="s">
        <v>15</v>
      </c>
      <c r="E3" t="s">
        <v>17</v>
      </c>
      <c r="G3" t="s">
        <v>20</v>
      </c>
    </row>
    <row r="4" spans="3:7" x14ac:dyDescent="0.25">
      <c r="C4" t="s">
        <v>13</v>
      </c>
      <c r="E4" t="s">
        <v>18</v>
      </c>
      <c r="G4" t="s">
        <v>21</v>
      </c>
    </row>
    <row r="5" spans="3:7" x14ac:dyDescent="0.25">
      <c r="C5" t="s">
        <v>14</v>
      </c>
      <c r="E5" t="s">
        <v>19</v>
      </c>
      <c r="G5" t="s">
        <v>23</v>
      </c>
    </row>
    <row r="6" spans="3:7" x14ac:dyDescent="0.25">
      <c r="C6" t="s">
        <v>16</v>
      </c>
      <c r="E6" s="8" t="s">
        <v>16</v>
      </c>
    </row>
    <row r="10" spans="3:7" x14ac:dyDescent="0.25">
      <c r="C10" s="7" t="s">
        <v>15</v>
      </c>
      <c r="E10" s="7" t="s">
        <v>17</v>
      </c>
      <c r="G10">
        <v>120000</v>
      </c>
    </row>
    <row r="11" spans="3:7" x14ac:dyDescent="0.25">
      <c r="C11" s="6" t="s">
        <v>13</v>
      </c>
      <c r="E11" s="6" t="s">
        <v>18</v>
      </c>
      <c r="G11">
        <v>12000</v>
      </c>
    </row>
    <row r="12" spans="3:7" x14ac:dyDescent="0.25">
      <c r="C12">
        <v>100000</v>
      </c>
      <c r="E12" t="s">
        <v>22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A1E0-DF32-4D8E-AF8B-068D3A93A20B}">
  <dimension ref="D4:F5"/>
  <sheetViews>
    <sheetView workbookViewId="0">
      <selection activeCell="D4" sqref="D4:F4"/>
    </sheetView>
  </sheetViews>
  <sheetFormatPr defaultRowHeight="15" x14ac:dyDescent="0.25"/>
  <cols>
    <col min="4" max="4" width="35.85546875" customWidth="1"/>
    <col min="5" max="5" width="31.42578125" customWidth="1"/>
    <col min="6" max="6" width="23.42578125" customWidth="1"/>
  </cols>
  <sheetData>
    <row r="4" spans="4:6" x14ac:dyDescent="0.25">
      <c r="D4" t="s">
        <v>26</v>
      </c>
      <c r="E4" t="s">
        <v>27</v>
      </c>
      <c r="F4" t="s">
        <v>28</v>
      </c>
    </row>
    <row r="5" spans="4:6" x14ac:dyDescent="0.25">
      <c r="D5">
        <v>5700</v>
      </c>
      <c r="E5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8BA69-72CE-4075-AB5A-AFA1214ABA8C}">
  <dimension ref="C2:P17"/>
  <sheetViews>
    <sheetView tabSelected="1" topLeftCell="E1" zoomScaleNormal="100" workbookViewId="0">
      <selection activeCell="I16" sqref="I16"/>
    </sheetView>
  </sheetViews>
  <sheetFormatPr defaultRowHeight="15" x14ac:dyDescent="0.25"/>
  <cols>
    <col min="3" max="3" width="16.85546875" customWidth="1"/>
    <col min="4" max="4" width="16.7109375" customWidth="1"/>
    <col min="5" max="5" width="16.28515625" customWidth="1"/>
    <col min="6" max="6" width="28.85546875" bestFit="1" customWidth="1"/>
    <col min="7" max="8" width="20.85546875" customWidth="1"/>
    <col min="9" max="9" width="29.5703125" customWidth="1"/>
    <col min="10" max="10" width="31.28515625" customWidth="1"/>
    <col min="11" max="12" width="24.140625" customWidth="1"/>
    <col min="13" max="13" width="13" customWidth="1"/>
    <col min="14" max="14" width="14.42578125" customWidth="1"/>
    <col min="15" max="15" width="27.140625" customWidth="1"/>
    <col min="16" max="16" width="16.28515625" customWidth="1"/>
  </cols>
  <sheetData>
    <row r="2" spans="3:16" x14ac:dyDescent="0.25">
      <c r="C2" t="s">
        <v>40</v>
      </c>
      <c r="N2" t="s">
        <v>41</v>
      </c>
    </row>
    <row r="4" spans="3:16" x14ac:dyDescent="0.25">
      <c r="D4" t="s">
        <v>42</v>
      </c>
      <c r="E4" t="s">
        <v>46</v>
      </c>
    </row>
    <row r="5" spans="3:16" x14ac:dyDescent="0.25">
      <c r="C5" t="s">
        <v>29</v>
      </c>
      <c r="D5" t="s">
        <v>43</v>
      </c>
      <c r="E5" s="2"/>
      <c r="F5" s="4"/>
      <c r="M5" t="s">
        <v>49</v>
      </c>
      <c r="O5" t="s">
        <v>55</v>
      </c>
      <c r="P5" t="s">
        <v>54</v>
      </c>
    </row>
    <row r="6" spans="3:16" x14ac:dyDescent="0.25">
      <c r="N6" t="s">
        <v>30</v>
      </c>
      <c r="O6" t="s">
        <v>53</v>
      </c>
      <c r="P6">
        <v>10000</v>
      </c>
    </row>
    <row r="7" spans="3:16" x14ac:dyDescent="0.25">
      <c r="N7" t="s">
        <v>31</v>
      </c>
      <c r="O7" t="s">
        <v>53</v>
      </c>
      <c r="P7">
        <v>10000</v>
      </c>
    </row>
    <row r="8" spans="3:16" x14ac:dyDescent="0.25">
      <c r="N8" t="s">
        <v>32</v>
      </c>
      <c r="O8" t="s">
        <v>53</v>
      </c>
      <c r="P8">
        <v>10000</v>
      </c>
    </row>
    <row r="9" spans="3:16" x14ac:dyDescent="0.25">
      <c r="N9" t="s">
        <v>33</v>
      </c>
      <c r="O9" t="s">
        <v>53</v>
      </c>
      <c r="P9">
        <v>10000</v>
      </c>
    </row>
    <row r="10" spans="3:16" x14ac:dyDescent="0.25">
      <c r="N10" t="s">
        <v>34</v>
      </c>
      <c r="O10" t="s">
        <v>53</v>
      </c>
      <c r="P10">
        <v>10000</v>
      </c>
    </row>
    <row r="11" spans="3:16" x14ac:dyDescent="0.25">
      <c r="N11" t="s">
        <v>35</v>
      </c>
      <c r="O11" t="s">
        <v>53</v>
      </c>
      <c r="P11">
        <v>10000</v>
      </c>
    </row>
    <row r="12" spans="3:16" x14ac:dyDescent="0.25">
      <c r="C12" t="s">
        <v>45</v>
      </c>
      <c r="N12" t="s">
        <v>36</v>
      </c>
      <c r="O12" t="s">
        <v>53</v>
      </c>
      <c r="P12">
        <v>10000</v>
      </c>
    </row>
    <row r="13" spans="3:16" x14ac:dyDescent="0.25">
      <c r="N13" t="s">
        <v>37</v>
      </c>
      <c r="O13" t="s">
        <v>53</v>
      </c>
      <c r="P13">
        <v>5000</v>
      </c>
    </row>
    <row r="14" spans="3:16" x14ac:dyDescent="0.25">
      <c r="D14" t="s">
        <v>42</v>
      </c>
      <c r="E14" t="s">
        <v>44</v>
      </c>
      <c r="F14" t="s">
        <v>50</v>
      </c>
      <c r="G14" t="s">
        <v>27</v>
      </c>
      <c r="H14" t="s">
        <v>51</v>
      </c>
      <c r="I14" t="s">
        <v>47</v>
      </c>
      <c r="J14" t="s">
        <v>52</v>
      </c>
      <c r="K14" t="s">
        <v>48</v>
      </c>
      <c r="N14" t="s">
        <v>38</v>
      </c>
      <c r="O14" t="s">
        <v>53</v>
      </c>
      <c r="P14">
        <v>15000</v>
      </c>
    </row>
    <row r="15" spans="3:16" x14ac:dyDescent="0.25">
      <c r="C15" t="s">
        <v>29</v>
      </c>
      <c r="D15" t="s">
        <v>43</v>
      </c>
      <c r="E15" s="2">
        <v>0.3</v>
      </c>
      <c r="F15" s="4">
        <v>100000</v>
      </c>
      <c r="G15" s="9">
        <f>J15*(1-E15)</f>
        <v>62999.999999999993</v>
      </c>
      <c r="H15" s="10">
        <f>F15*E15</f>
        <v>30000</v>
      </c>
      <c r="I15" s="9">
        <v>0</v>
      </c>
      <c r="J15">
        <v>90000</v>
      </c>
      <c r="K15">
        <f>J15+I15</f>
        <v>90000</v>
      </c>
      <c r="N15" t="s">
        <v>39</v>
      </c>
      <c r="O15">
        <v>0</v>
      </c>
      <c r="P15">
        <v>10000</v>
      </c>
    </row>
    <row r="16" spans="3:16" x14ac:dyDescent="0.25">
      <c r="C16" t="s">
        <v>49</v>
      </c>
      <c r="D16" t="s">
        <v>43</v>
      </c>
      <c r="E16" s="12">
        <v>0.3</v>
      </c>
      <c r="F16" s="11">
        <f ca="1">SUMIF(O6:P15,"x",P6:P15)</f>
        <v>90000</v>
      </c>
      <c r="G16" s="13">
        <f>J16*(1-E16)</f>
        <v>62999.999999999993</v>
      </c>
      <c r="H16" s="14">
        <f ca="1">F16*E16</f>
        <v>27000</v>
      </c>
      <c r="I16" s="15">
        <v>10000</v>
      </c>
      <c r="J16" s="16">
        <v>90000</v>
      </c>
      <c r="K16" s="13">
        <f t="shared" ref="K16:K17" si="0">J16+I16</f>
        <v>100000</v>
      </c>
    </row>
    <row r="17" spans="7:11" x14ac:dyDescent="0.25">
      <c r="G17" s="9">
        <f t="shared" ref="G16:G17" si="1">J17*(1-E17)</f>
        <v>0</v>
      </c>
      <c r="H17" s="9"/>
      <c r="I17" s="9">
        <v>0</v>
      </c>
      <c r="K17">
        <f t="shared" si="0"/>
        <v>0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706444E17FE0B4FA22648A6D2B8B8FB" ma:contentTypeVersion="11" ma:contentTypeDescription="Utwórz nowy dokument." ma:contentTypeScope="" ma:versionID="08bc77383162598f958399a9689b0bee">
  <xsd:schema xmlns:xsd="http://www.w3.org/2001/XMLSchema" xmlns:xs="http://www.w3.org/2001/XMLSchema" xmlns:p="http://schemas.microsoft.com/office/2006/metadata/properties" xmlns:ns2="5c808c61-7593-4213-a548-41cfd5ff245d" xmlns:ns3="ba0ed539-3bb3-4a9d-81be-d9892850de1a" targetNamespace="http://schemas.microsoft.com/office/2006/metadata/properties" ma:root="true" ma:fieldsID="8f7f90f8225932cc9a19ff3fe5878932" ns2:_="" ns3:_="">
    <xsd:import namespace="5c808c61-7593-4213-a548-41cfd5ff245d"/>
    <xsd:import namespace="ba0ed539-3bb3-4a9d-81be-d9892850d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08c61-7593-4213-a548-41cfd5ff2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i obrazów" ma:readOnly="false" ma:fieldId="{5cf76f15-5ced-4ddc-b409-7134ff3c332f}" ma:taxonomyMulti="true" ma:sspId="a530c63c-31e4-49bf-a78a-74a4ed5152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ed539-3bb3-4a9d-81be-d9892850de1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39c925e-f2e4-47ec-8b48-3db2a2a0e1ff}" ma:internalName="TaxCatchAll" ma:showField="CatchAllData" ma:web="ba0ed539-3bb3-4a9d-81be-d9892850de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808c61-7593-4213-a548-41cfd5ff245d">
      <Terms xmlns="http://schemas.microsoft.com/office/infopath/2007/PartnerControls"/>
    </lcf76f155ced4ddcb4097134ff3c332f>
    <TaxCatchAll xmlns="ba0ed539-3bb3-4a9d-81be-d9892850de1a" xsi:nil="true"/>
  </documentManagement>
</p:properties>
</file>

<file path=customXml/itemProps1.xml><?xml version="1.0" encoding="utf-8"?>
<ds:datastoreItem xmlns:ds="http://schemas.openxmlformats.org/officeDocument/2006/customXml" ds:itemID="{8CC1ED6F-C5AD-400A-A16E-9E88577553B2}"/>
</file>

<file path=customXml/itemProps2.xml><?xml version="1.0" encoding="utf-8"?>
<ds:datastoreItem xmlns:ds="http://schemas.openxmlformats.org/officeDocument/2006/customXml" ds:itemID="{180443C1-DD47-4266-AD1D-F30158F609D4}"/>
</file>

<file path=customXml/itemProps3.xml><?xml version="1.0" encoding="utf-8"?>
<ds:datastoreItem xmlns:ds="http://schemas.openxmlformats.org/officeDocument/2006/customXml" ds:itemID="{6449C99F-30EA-4481-A349-73DC2E659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Liczenie prowizji</vt:lpstr>
      <vt:lpstr>Wsad</vt:lpstr>
      <vt:lpstr>Kwoty dofinansowania</vt:lpstr>
      <vt:lpstr>Firmy - uczestnicy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Czapiewski</dc:creator>
  <cp:lastModifiedBy>Paweł Czapiewski</cp:lastModifiedBy>
  <dcterms:created xsi:type="dcterms:W3CDTF">2026-08-25T11:33:22Z</dcterms:created>
  <dcterms:modified xsi:type="dcterms:W3CDTF">2026-08-25T13:51:19Z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0x0101006706444E17FE0B4FA22648A6D2B8B8FB</vt:lpwstr>
  </property>
</Properties>
</file>